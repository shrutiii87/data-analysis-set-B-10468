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Customer_Support_Quality_Analysis\Excel\"/>
    </mc:Choice>
  </mc:AlternateContent>
  <xr:revisionPtr revIDLastSave="0" documentId="13_ncr:20001_{DEABA37A-F5B5-48E6-91A8-B81F955DB4C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</sheets>
  <definedNames>
    <definedName name="_xlnm._FilterDatabase" localSheetId="0" hidden="1">Raw!$A$1:$F$14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B6" i="4" s="1"/>
  <c r="G6" i="3"/>
  <c r="H5" i="3"/>
  <c r="G5" i="3"/>
  <c r="H4" i="3"/>
  <c r="B7" i="4" s="1"/>
  <c r="G4" i="3"/>
  <c r="H3" i="3"/>
  <c r="G3" i="3"/>
  <c r="H2" i="3"/>
  <c r="B5" i="4" s="1"/>
  <c r="G2" i="3"/>
  <c r="D13" i="4" s="1"/>
  <c r="D12" i="4" l="1"/>
  <c r="B13" i="4"/>
  <c r="B12" i="4"/>
  <c r="C13" i="4"/>
  <c r="C12" i="4"/>
</calcChain>
</file>

<file path=xl/sharedStrings.xml><?xml version="1.0" encoding="utf-8"?>
<sst xmlns="http://schemas.openxmlformats.org/spreadsheetml/2006/main" count="130" uniqueCount="36">
  <si>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</si>
  <si>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</si>
  <si>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</si>
  <si>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</si>
  <si>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</si>
  <si>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</si>
  <si>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</si>
  <si>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</si>
  <si>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</si>
  <si>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</si>
  <si>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</si>
  <si>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</si>
  <si>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</si>
  <si>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</si>
  <si>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</si>
  <si>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</si>
  <si>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</si>
  <si>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</si>
  <si>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</si>
  <si>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</si>
  <si>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</si>
  <si>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</si>
  <si>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</si>
  <si>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</si>
  <si>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breach_flag</t>
  </si>
  <si>
    <t>Row Count Check</t>
  </si>
  <si>
    <t>Before cleaning</t>
  </si>
  <si>
    <t>After cleaning</t>
  </si>
  <si>
    <t>Duplicates removed</t>
  </si>
  <si>
    <t>Ticket Analysis Summary</t>
  </si>
  <si>
    <t>Breached Tickets by Channel</t>
  </si>
  <si>
    <t>Channel</t>
  </si>
  <si>
    <t>Breached Tickets</t>
  </si>
  <si>
    <t>PivotTable – Average Resolution Hours</t>
  </si>
  <si>
    <t>Department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</si>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</sst>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1F1F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1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2" fontId="0" fillId="3" borderId="2" xfId="0" applyNumberForma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15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Resolution Hours by Department and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4.8506944444444443E-2"/>
          <c:w val="0.94825925925925925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632523"/>
            </a:solidFill>
            <a:ln>
              <a:prstDash val="solid"/>
            </a:ln>
          </c:spPr>
          <c:invertIfNegative val="1"/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Summary!$B$12:$B$13</c:f>
              <c:numCache>
                <c:formatCode>0.00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2A-445F-A3F5-FFAF86184757}"/>
            </c:ext>
          </c:extLst>
        </c:ser>
        <c:ser>
          <c:idx val="1"/>
          <c:order val="1"/>
          <c:tx>
            <c:strRef>
              <c:f>Summary!$C$11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953735"/>
            </a:solidFill>
            <a:ln>
              <a:prstDash val="solid"/>
            </a:ln>
          </c:spPr>
          <c:invertIfNegative val="1"/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Summary!$C$12:$C$13</c:f>
              <c:numCache>
                <c:formatCode>0.00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2A-445F-A3F5-FFAF86184757}"/>
            </c:ext>
          </c:extLst>
        </c:ser>
        <c:ser>
          <c:idx val="2"/>
          <c:order val="2"/>
          <c:tx>
            <c:strRef>
              <c:f>Summary!$D$11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D99694"/>
            </a:solidFill>
            <a:ln>
              <a:prstDash val="solid"/>
            </a:ln>
          </c:spPr>
          <c:invertIfNegative val="1"/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Summary!$D$12:$D$13</c:f>
              <c:numCache>
                <c:formatCode>0.00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72A-445F-A3F5-FFAF86184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Resolution Hours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amLookup" displayName="TeamLookup" ref="A1:C5" headerRowDxfId="14" dataDxfId="13">
  <autoFilter ref="A1:C5" xr:uid="{00000000-0009-0000-0100-000002000000}"/>
  <tableColumns count="3">
    <tableColumn id="1" xr3:uid="{00000000-0010-0000-0000-000001000000}" name="team_id" dataDxfId="12"/>
    <tableColumn id="2" xr3:uid="{00000000-0010-0000-0000-000002000000}" name="team" dataDxfId="11"/>
    <tableColumn id="3" xr3:uid="{00000000-0010-0000-0000-000003000000}" name="department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leanTickets" displayName="CleanTickets" ref="A1:H13" headerRowDxfId="9" dataDxfId="0">
  <autoFilter ref="A1:H13" xr:uid="{00000000-0009-0000-0100-000003000000}"/>
  <tableColumns count="8">
    <tableColumn id="1" xr3:uid="{00000000-0010-0000-0100-000001000000}" name="ticket_id" dataDxfId="8"/>
    <tableColumn id="2" xr3:uid="{00000000-0010-0000-0100-000002000000}" name="month" dataDxfId="7"/>
    <tableColumn id="3" xr3:uid="{00000000-0010-0000-0100-000003000000}" name="team_id" dataDxfId="6"/>
    <tableColumn id="4" xr3:uid="{00000000-0010-0000-0100-000004000000}" name="channel" dataDxfId="5"/>
    <tableColumn id="5" xr3:uid="{00000000-0010-0000-0100-000005000000}" name="resolution_hours" dataDxfId="4"/>
    <tableColumn id="6" xr3:uid="{00000000-0010-0000-0100-000006000000}" name="satisfaction" dataDxfId="3"/>
    <tableColumn id="7" xr3:uid="{00000000-0010-0000-0100-000007000000}" name="department" dataDxfId="2"/>
    <tableColumn id="8" xr3:uid="{00000000-0010-0000-0100-000008000000}" name="breach_flag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4" width="11" customWidth="1"/>
    <col min="5" max="5" width="18" customWidth="1"/>
    <col min="6" max="6" width="14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5">
      <c r="A2" s="6">
        <v>1</v>
      </c>
      <c r="B2" s="6" t="s">
        <v>6</v>
      </c>
      <c r="C2" s="6" t="s">
        <v>7</v>
      </c>
      <c r="D2" s="6" t="s">
        <v>8</v>
      </c>
      <c r="E2" s="6">
        <v>12</v>
      </c>
      <c r="F2" s="6">
        <v>4</v>
      </c>
    </row>
    <row r="3" spans="1:6" x14ac:dyDescent="0.35">
      <c r="A3" s="6">
        <v>2</v>
      </c>
      <c r="B3" s="6" t="s">
        <v>6</v>
      </c>
      <c r="C3" s="6" t="s">
        <v>9</v>
      </c>
      <c r="D3" s="6" t="s">
        <v>10</v>
      </c>
      <c r="E3" s="6">
        <v>28</v>
      </c>
      <c r="F3" s="6">
        <v>3</v>
      </c>
    </row>
    <row r="4" spans="1:6" x14ac:dyDescent="0.35">
      <c r="A4" s="6">
        <v>3</v>
      </c>
      <c r="B4" s="6" t="s">
        <v>6</v>
      </c>
      <c r="C4" s="6" t="s">
        <v>11</v>
      </c>
      <c r="D4" s="6" t="s">
        <v>12</v>
      </c>
      <c r="E4" s="6">
        <v>36</v>
      </c>
      <c r="F4" s="6">
        <v>2</v>
      </c>
    </row>
    <row r="5" spans="1:6" x14ac:dyDescent="0.35">
      <c r="A5" s="6">
        <v>4</v>
      </c>
      <c r="B5" s="6" t="s">
        <v>6</v>
      </c>
      <c r="C5" s="6" t="s">
        <v>13</v>
      </c>
      <c r="D5" s="6" t="s">
        <v>8</v>
      </c>
      <c r="E5" s="6">
        <v>20</v>
      </c>
      <c r="F5" s="6">
        <v>4</v>
      </c>
    </row>
    <row r="6" spans="1:6" x14ac:dyDescent="0.35">
      <c r="A6" s="6">
        <v>5</v>
      </c>
      <c r="B6" s="6" t="s">
        <v>14</v>
      </c>
      <c r="C6" s="6" t="s">
        <v>7</v>
      </c>
      <c r="D6" s="6" t="s">
        <v>10</v>
      </c>
      <c r="E6" s="6">
        <v>8</v>
      </c>
      <c r="F6" s="6">
        <v>5</v>
      </c>
    </row>
    <row r="7" spans="1:6" x14ac:dyDescent="0.35">
      <c r="A7" s="6">
        <v>6</v>
      </c>
      <c r="B7" s="6" t="s">
        <v>14</v>
      </c>
      <c r="C7" s="6" t="s">
        <v>9</v>
      </c>
      <c r="D7" s="6" t="s">
        <v>12</v>
      </c>
      <c r="E7" s="6">
        <v>30</v>
      </c>
      <c r="F7" s="6">
        <v>3</v>
      </c>
    </row>
    <row r="8" spans="1:6" x14ac:dyDescent="0.35">
      <c r="A8" s="6">
        <v>7</v>
      </c>
      <c r="B8" s="6" t="s">
        <v>14</v>
      </c>
      <c r="C8" s="6" t="s">
        <v>11</v>
      </c>
      <c r="D8" s="6" t="s">
        <v>8</v>
      </c>
      <c r="E8" s="6">
        <v>18</v>
      </c>
      <c r="F8" s="6">
        <v>4</v>
      </c>
    </row>
    <row r="9" spans="1:6" x14ac:dyDescent="0.35">
      <c r="A9" s="6">
        <v>8</v>
      </c>
      <c r="B9" s="6" t="s">
        <v>14</v>
      </c>
      <c r="C9" s="6" t="s">
        <v>13</v>
      </c>
      <c r="D9" s="6" t="s">
        <v>10</v>
      </c>
      <c r="E9" s="6">
        <v>40</v>
      </c>
      <c r="F9" s="6">
        <v>2</v>
      </c>
    </row>
    <row r="10" spans="1:6" x14ac:dyDescent="0.35">
      <c r="A10" s="6">
        <v>9</v>
      </c>
      <c r="B10" s="6" t="s">
        <v>15</v>
      </c>
      <c r="C10" s="6" t="s">
        <v>7</v>
      </c>
      <c r="D10" s="6" t="s">
        <v>12</v>
      </c>
      <c r="E10" s="6">
        <v>16</v>
      </c>
      <c r="F10" s="6">
        <v>4</v>
      </c>
    </row>
    <row r="11" spans="1:6" x14ac:dyDescent="0.35">
      <c r="A11" s="6">
        <v>10</v>
      </c>
      <c r="B11" s="6" t="s">
        <v>15</v>
      </c>
      <c r="C11" s="6" t="s">
        <v>9</v>
      </c>
      <c r="D11" s="6" t="s">
        <v>8</v>
      </c>
      <c r="E11" s="6">
        <v>22</v>
      </c>
      <c r="F11" s="6">
        <v>4</v>
      </c>
    </row>
    <row r="12" spans="1:6" x14ac:dyDescent="0.35">
      <c r="A12" s="6">
        <v>11</v>
      </c>
      <c r="B12" s="6" t="s">
        <v>15</v>
      </c>
      <c r="C12" s="6" t="s">
        <v>11</v>
      </c>
      <c r="D12" s="6" t="s">
        <v>10</v>
      </c>
      <c r="E12" s="6">
        <v>32</v>
      </c>
      <c r="F12" s="6">
        <v>3</v>
      </c>
    </row>
    <row r="13" spans="1:6" x14ac:dyDescent="0.35">
      <c r="A13" s="6">
        <v>12</v>
      </c>
      <c r="B13" s="6" t="s">
        <v>15</v>
      </c>
      <c r="C13" s="6" t="s">
        <v>13</v>
      </c>
      <c r="D13" s="6" t="s">
        <v>12</v>
      </c>
      <c r="E13" s="6">
        <v>24</v>
      </c>
      <c r="F13" s="6">
        <v>5</v>
      </c>
    </row>
    <row r="14" spans="1:6" x14ac:dyDescent="0.35">
      <c r="A14" s="6">
        <v>12</v>
      </c>
      <c r="B14" s="6" t="s">
        <v>15</v>
      </c>
      <c r="C14" s="6" t="s">
        <v>13</v>
      </c>
      <c r="D14" s="6" t="s">
        <v>12</v>
      </c>
      <c r="E14" s="6">
        <v>24</v>
      </c>
      <c r="F14" s="6">
        <v>5</v>
      </c>
    </row>
  </sheetData>
  <autoFilter ref="A1:F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1" width="11" customWidth="1"/>
    <col min="2" max="2" width="13" customWidth="1"/>
    <col min="3" max="3" width="12" customWidth="1"/>
  </cols>
  <sheetData>
    <row r="1" spans="1:3" x14ac:dyDescent="0.35">
      <c r="A1" s="5" t="s">
        <v>2</v>
      </c>
      <c r="B1" s="5" t="s">
        <v>16</v>
      </c>
      <c r="C1" s="5" t="s">
        <v>17</v>
      </c>
    </row>
    <row r="2" spans="1:3" x14ac:dyDescent="0.35">
      <c r="A2" s="6" t="s">
        <v>7</v>
      </c>
      <c r="B2" s="6" t="s">
        <v>18</v>
      </c>
      <c r="C2" s="6" t="s">
        <v>19</v>
      </c>
    </row>
    <row r="3" spans="1:3" x14ac:dyDescent="0.35">
      <c r="A3" s="6" t="s">
        <v>9</v>
      </c>
      <c r="B3" s="6" t="s">
        <v>20</v>
      </c>
      <c r="C3" s="6" t="s">
        <v>19</v>
      </c>
    </row>
    <row r="4" spans="1:3" x14ac:dyDescent="0.35">
      <c r="A4" s="6" t="s">
        <v>11</v>
      </c>
      <c r="B4" s="6" t="s">
        <v>21</v>
      </c>
      <c r="C4" s="6" t="s">
        <v>22</v>
      </c>
    </row>
    <row r="5" spans="1:3" x14ac:dyDescent="0.35">
      <c r="A5" s="6" t="s">
        <v>13</v>
      </c>
      <c r="B5" s="6" t="s">
        <v>23</v>
      </c>
      <c r="C5" s="6" t="s">
        <v>22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G1" workbookViewId="0">
      <pane ySplit="1" topLeftCell="A2" activePane="bottomLeft" state="frozen"/>
      <selection pane="bottomLeft" activeCell="I6" sqref="I6"/>
    </sheetView>
  </sheetViews>
  <sheetFormatPr defaultRowHeight="14.5" x14ac:dyDescent="0.35"/>
  <cols>
    <col min="1" max="4" width="11" customWidth="1"/>
    <col min="5" max="5" width="18" customWidth="1"/>
    <col min="6" max="6" width="14" customWidth="1"/>
    <col min="7" max="7" width="28" customWidth="1"/>
    <col min="8" max="8" width="17" customWidth="1"/>
    <col min="9" max="9" width="11" customWidth="1"/>
    <col min="10" max="10" width="20" customWidth="1"/>
    <col min="11" max="11" width="11" customWidth="1"/>
  </cols>
  <sheetData>
    <row r="1" spans="1:11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17</v>
      </c>
      <c r="H1" s="3" t="s">
        <v>24</v>
      </c>
      <c r="I1" s="1"/>
      <c r="J1" s="10" t="s">
        <v>25</v>
      </c>
      <c r="K1" s="1"/>
    </row>
    <row r="2" spans="1:11" x14ac:dyDescent="0.35">
      <c r="A2" s="7">
        <v>1</v>
      </c>
      <c r="B2" s="4" t="s">
        <v>6</v>
      </c>
      <c r="C2" s="4" t="s">
        <v>7</v>
      </c>
      <c r="D2" s="4" t="s">
        <v>8</v>
      </c>
      <c r="E2" s="8">
        <v>12</v>
      </c>
      <c r="F2" s="7">
        <v>4</v>
      </c>
      <c r="G2" s="4" t="str">
        <f>INDEX(Lookup!$C$2:$C$5,MATCH(C2,Lookup!$A$2:$A$5,0))</f>
        <v>Service</v>
      </c>
      <c r="H2" s="7">
        <f t="shared" ref="H2:H13" si="0">IF(E2&gt;24,1,0)</f>
        <v>0</v>
      </c>
      <c r="I2" s="1"/>
      <c r="J2" s="9" t="s">
        <v>26</v>
      </c>
      <c r="K2" s="4">
        <v>13</v>
      </c>
    </row>
    <row r="3" spans="1:11" x14ac:dyDescent="0.35">
      <c r="A3" s="7">
        <v>2</v>
      </c>
      <c r="B3" s="4" t="s">
        <v>6</v>
      </c>
      <c r="C3" s="4" t="s">
        <v>9</v>
      </c>
      <c r="D3" s="4" t="s">
        <v>10</v>
      </c>
      <c r="E3" s="8">
        <v>28</v>
      </c>
      <c r="F3" s="7">
        <v>3</v>
      </c>
      <c r="G3" s="4" t="str">
        <f>INDEX(Lookup!$C$2:$C$5,MATCH(C3,Lookup!$A$2:$A$5,0))</f>
        <v>Service</v>
      </c>
      <c r="H3" s="7">
        <f t="shared" si="0"/>
        <v>1</v>
      </c>
      <c r="I3" s="1"/>
      <c r="J3" s="9" t="s">
        <v>27</v>
      </c>
      <c r="K3" s="4">
        <v>12</v>
      </c>
    </row>
    <row r="4" spans="1:11" x14ac:dyDescent="0.35">
      <c r="A4" s="7">
        <v>3</v>
      </c>
      <c r="B4" s="4" t="s">
        <v>6</v>
      </c>
      <c r="C4" s="4" t="s">
        <v>11</v>
      </c>
      <c r="D4" s="4" t="s">
        <v>12</v>
      </c>
      <c r="E4" s="8">
        <v>36</v>
      </c>
      <c r="F4" s="7">
        <v>2</v>
      </c>
      <c r="G4" s="4" t="str">
        <f>INDEX(Lookup!$C$2:$C$5,MATCH(C4,Lookup!$A$2:$A$5,0))</f>
        <v>Technical</v>
      </c>
      <c r="H4" s="7">
        <f t="shared" si="0"/>
        <v>1</v>
      </c>
      <c r="I4" s="1"/>
      <c r="J4" s="9" t="s">
        <v>28</v>
      </c>
      <c r="K4" s="4">
        <v>1</v>
      </c>
    </row>
    <row r="5" spans="1:11" x14ac:dyDescent="0.35">
      <c r="A5" s="7">
        <v>4</v>
      </c>
      <c r="B5" s="4" t="s">
        <v>6</v>
      </c>
      <c r="C5" s="4" t="s">
        <v>13</v>
      </c>
      <c r="D5" s="4" t="s">
        <v>8</v>
      </c>
      <c r="E5" s="8">
        <v>20</v>
      </c>
      <c r="F5" s="7">
        <v>4</v>
      </c>
      <c r="G5" s="4" t="str">
        <f>INDEX(Lookup!$C$2:$C$5,MATCH(C5,Lookup!$A$2:$A$5,0))</f>
        <v>Technical</v>
      </c>
      <c r="H5" s="7">
        <f t="shared" si="0"/>
        <v>0</v>
      </c>
      <c r="I5" s="1"/>
      <c r="J5" s="1"/>
      <c r="K5" s="1"/>
    </row>
    <row r="6" spans="1:11" x14ac:dyDescent="0.35">
      <c r="A6" s="7">
        <v>5</v>
      </c>
      <c r="B6" s="4" t="s">
        <v>14</v>
      </c>
      <c r="C6" s="4" t="s">
        <v>7</v>
      </c>
      <c r="D6" s="4" t="s">
        <v>10</v>
      </c>
      <c r="E6" s="8">
        <v>8</v>
      </c>
      <c r="F6" s="7">
        <v>5</v>
      </c>
      <c r="G6" s="4" t="str">
        <f>INDEX(Lookup!$C$2:$C$5,MATCH(C6,Lookup!$A$2:$A$5,0))</f>
        <v>Service</v>
      </c>
      <c r="H6" s="7">
        <f t="shared" si="0"/>
        <v>0</v>
      </c>
      <c r="I6" s="1"/>
      <c r="J6" s="1"/>
      <c r="K6" s="1"/>
    </row>
    <row r="7" spans="1:11" x14ac:dyDescent="0.35">
      <c r="A7" s="7">
        <v>6</v>
      </c>
      <c r="B7" s="4" t="s">
        <v>14</v>
      </c>
      <c r="C7" s="4" t="s">
        <v>9</v>
      </c>
      <c r="D7" s="4" t="s">
        <v>12</v>
      </c>
      <c r="E7" s="8">
        <v>30</v>
      </c>
      <c r="F7" s="7">
        <v>3</v>
      </c>
      <c r="G7" s="4" t="str">
        <f>INDEX(Lookup!$C$2:$C$5,MATCH(C7,Lookup!$A$2:$A$5,0))</f>
        <v>Service</v>
      </c>
      <c r="H7" s="7">
        <f t="shared" si="0"/>
        <v>1</v>
      </c>
      <c r="I7" s="1"/>
      <c r="J7" s="1"/>
      <c r="K7" s="1"/>
    </row>
    <row r="8" spans="1:11" x14ac:dyDescent="0.35">
      <c r="A8" s="7">
        <v>7</v>
      </c>
      <c r="B8" s="4" t="s">
        <v>14</v>
      </c>
      <c r="C8" s="4" t="s">
        <v>11</v>
      </c>
      <c r="D8" s="4" t="s">
        <v>8</v>
      </c>
      <c r="E8" s="8">
        <v>18</v>
      </c>
      <c r="F8" s="7">
        <v>4</v>
      </c>
      <c r="G8" s="4" t="str">
        <f>INDEX(Lookup!$C$2:$C$5,MATCH(C8,Lookup!$A$2:$A$5,0))</f>
        <v>Technical</v>
      </c>
      <c r="H8" s="7">
        <f t="shared" si="0"/>
        <v>0</v>
      </c>
      <c r="I8" s="1"/>
      <c r="J8" s="1"/>
      <c r="K8" s="1"/>
    </row>
    <row r="9" spans="1:11" x14ac:dyDescent="0.35">
      <c r="A9" s="7">
        <v>8</v>
      </c>
      <c r="B9" s="4" t="s">
        <v>14</v>
      </c>
      <c r="C9" s="4" t="s">
        <v>13</v>
      </c>
      <c r="D9" s="4" t="s">
        <v>10</v>
      </c>
      <c r="E9" s="8">
        <v>40</v>
      </c>
      <c r="F9" s="7">
        <v>2</v>
      </c>
      <c r="G9" s="4" t="str">
        <f>INDEX(Lookup!$C$2:$C$5,MATCH(C9,Lookup!$A$2:$A$5,0))</f>
        <v>Technical</v>
      </c>
      <c r="H9" s="7">
        <f t="shared" si="0"/>
        <v>1</v>
      </c>
      <c r="I9" s="1"/>
      <c r="J9" s="1"/>
      <c r="K9" s="1"/>
    </row>
    <row r="10" spans="1:11" x14ac:dyDescent="0.35">
      <c r="A10" s="7">
        <v>9</v>
      </c>
      <c r="B10" s="4" t="s">
        <v>15</v>
      </c>
      <c r="C10" s="4" t="s">
        <v>7</v>
      </c>
      <c r="D10" s="4" t="s">
        <v>12</v>
      </c>
      <c r="E10" s="8">
        <v>16</v>
      </c>
      <c r="F10" s="7">
        <v>4</v>
      </c>
      <c r="G10" s="4" t="str">
        <f>INDEX(Lookup!$C$2:$C$5,MATCH(C10,Lookup!$A$2:$A$5,0))</f>
        <v>Service</v>
      </c>
      <c r="H10" s="7">
        <f t="shared" si="0"/>
        <v>0</v>
      </c>
      <c r="I10" s="1"/>
      <c r="J10" s="1"/>
      <c r="K10" s="1"/>
    </row>
    <row r="11" spans="1:11" x14ac:dyDescent="0.35">
      <c r="A11" s="7">
        <v>10</v>
      </c>
      <c r="B11" s="4" t="s">
        <v>15</v>
      </c>
      <c r="C11" s="4" t="s">
        <v>9</v>
      </c>
      <c r="D11" s="4" t="s">
        <v>8</v>
      </c>
      <c r="E11" s="8">
        <v>22</v>
      </c>
      <c r="F11" s="7">
        <v>4</v>
      </c>
      <c r="G11" s="4" t="str">
        <f>INDEX(Lookup!$C$2:$C$5,MATCH(C11,Lookup!$A$2:$A$5,0))</f>
        <v>Service</v>
      </c>
      <c r="H11" s="7">
        <f t="shared" si="0"/>
        <v>0</v>
      </c>
      <c r="I11" s="1"/>
      <c r="J11" s="1"/>
      <c r="K11" s="1"/>
    </row>
    <row r="12" spans="1:11" x14ac:dyDescent="0.35">
      <c r="A12" s="7">
        <v>11</v>
      </c>
      <c r="B12" s="4" t="s">
        <v>15</v>
      </c>
      <c r="C12" s="4" t="s">
        <v>11</v>
      </c>
      <c r="D12" s="4" t="s">
        <v>10</v>
      </c>
      <c r="E12" s="8">
        <v>32</v>
      </c>
      <c r="F12" s="7">
        <v>3</v>
      </c>
      <c r="G12" s="4" t="str">
        <f>INDEX(Lookup!$C$2:$C$5,MATCH(C12,Lookup!$A$2:$A$5,0))</f>
        <v>Technical</v>
      </c>
      <c r="H12" s="7">
        <f t="shared" si="0"/>
        <v>1</v>
      </c>
      <c r="I12" s="1"/>
      <c r="J12" s="1"/>
      <c r="K12" s="1"/>
    </row>
    <row r="13" spans="1:11" x14ac:dyDescent="0.35">
      <c r="A13" s="7">
        <v>12</v>
      </c>
      <c r="B13" s="4" t="s">
        <v>15</v>
      </c>
      <c r="C13" s="4" t="s">
        <v>13</v>
      </c>
      <c r="D13" s="4" t="s">
        <v>12</v>
      </c>
      <c r="E13" s="8">
        <v>24</v>
      </c>
      <c r="F13" s="7">
        <v>5</v>
      </c>
      <c r="G13" s="4" t="str">
        <f>INDEX(Lookup!$C$2:$C$5,MATCH(C13,Lookup!$A$2:$A$5,0))</f>
        <v>Technical</v>
      </c>
      <c r="H13" s="7">
        <f t="shared" si="0"/>
        <v>0</v>
      </c>
      <c r="I13" s="1"/>
      <c r="J13" s="1"/>
      <c r="K13" s="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workbookViewId="0">
      <selection activeCell="D6" sqref="D6"/>
    </sheetView>
  </sheetViews>
  <sheetFormatPr defaultRowHeight="14.5" x14ac:dyDescent="0.35"/>
  <cols>
    <col min="1" max="1" width="24" customWidth="1"/>
    <col min="2" max="2" width="22" customWidth="1"/>
    <col min="3" max="4" width="14" customWidth="1"/>
    <col min="5" max="5" width="4" customWidth="1"/>
    <col min="6" max="6" width="16" customWidth="1"/>
  </cols>
  <sheetData>
    <row r="1" spans="1:4" ht="21" x14ac:dyDescent="0.35">
      <c r="A1" s="12" t="s">
        <v>29</v>
      </c>
      <c r="B1" s="13"/>
      <c r="C1" s="1"/>
      <c r="D1" s="1"/>
    </row>
    <row r="2" spans="1:4" x14ac:dyDescent="0.35">
      <c r="A2" s="1"/>
      <c r="B2" s="1"/>
      <c r="C2" s="1"/>
      <c r="D2" s="1"/>
    </row>
    <row r="3" spans="1:4" ht="18.5" x14ac:dyDescent="0.35">
      <c r="A3" s="2" t="s">
        <v>30</v>
      </c>
      <c r="B3" s="1"/>
      <c r="C3" s="1"/>
      <c r="D3" s="1"/>
    </row>
    <row r="4" spans="1:4" x14ac:dyDescent="0.35">
      <c r="A4" s="5" t="s">
        <v>31</v>
      </c>
      <c r="B4" s="5" t="s">
        <v>32</v>
      </c>
      <c r="C4" s="1"/>
      <c r="D4" s="1"/>
    </row>
    <row r="5" spans="1:4" x14ac:dyDescent="0.35">
      <c r="A5" s="6" t="s">
        <v>8</v>
      </c>
      <c r="B5" s="6">
        <f>COUNTIFS(Clean!$D$2:$D$13,A5,Clean!$H$2:$H$13,1)</f>
        <v>0</v>
      </c>
      <c r="C5" s="1"/>
      <c r="D5" s="1"/>
    </row>
    <row r="6" spans="1:4" x14ac:dyDescent="0.35">
      <c r="A6" s="6" t="s">
        <v>10</v>
      </c>
      <c r="B6" s="6">
        <f>COUNTIFS(Clean!$D$2:$D$13,A6,Clean!$H$2:$H$13,1)</f>
        <v>3</v>
      </c>
      <c r="C6" s="1"/>
      <c r="D6" s="1"/>
    </row>
    <row r="7" spans="1:4" x14ac:dyDescent="0.35">
      <c r="A7" s="6" t="s">
        <v>12</v>
      </c>
      <c r="B7" s="6">
        <f>COUNTIFS(Clean!$D$2:$D$13,A7,Clean!$H$2:$H$13,1)</f>
        <v>2</v>
      </c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ht="18.5" x14ac:dyDescent="0.35">
      <c r="A10" s="2" t="s">
        <v>33</v>
      </c>
      <c r="B10" s="1"/>
      <c r="C10" s="1"/>
      <c r="D10" s="1"/>
    </row>
    <row r="11" spans="1:4" x14ac:dyDescent="0.35">
      <c r="A11" s="5" t="s">
        <v>34</v>
      </c>
      <c r="B11" s="5" t="s">
        <v>6</v>
      </c>
      <c r="C11" s="5" t="s">
        <v>14</v>
      </c>
      <c r="D11" s="5" t="s">
        <v>15</v>
      </c>
    </row>
    <row r="12" spans="1:4" x14ac:dyDescent="0.35">
      <c r="A12" s="6" t="s">
        <v>19</v>
      </c>
      <c r="B12" s="11">
        <f>IFERROR(AVERAGEIFS(Clean!$E$2:$E$13,Clean!$G$2:$G$13,$A12,Clean!$B$2:$B$13,B$11),"")</f>
        <v>20</v>
      </c>
      <c r="C12" s="11">
        <f>IFERROR(AVERAGEIFS(Clean!$E$2:$E$13,Clean!$G$2:$G$13,$A12,Clean!$B$2:$B$13,C$11),"")</f>
        <v>19</v>
      </c>
      <c r="D12" s="11">
        <f>IFERROR(AVERAGEIFS(Clean!$E$2:$E$13,Clean!$G$2:$G$13,$A12,Clean!$B$2:$B$13,D$11),"")</f>
        <v>19</v>
      </c>
    </row>
    <row r="13" spans="1:4" x14ac:dyDescent="0.35">
      <c r="A13" s="6" t="s">
        <v>22</v>
      </c>
      <c r="B13" s="11">
        <f>IFERROR(AVERAGEIFS(Clean!$E$2:$E$13,Clean!$G$2:$G$13,$A13,Clean!$B$2:$B$13,B$11),"")</f>
        <v>28</v>
      </c>
      <c r="C13" s="11">
        <f>IFERROR(AVERAGEIFS(Clean!$E$2:$E$13,Clean!$G$2:$G$13,$A13,Clean!$B$2:$B$13,C$11),"")</f>
        <v>29</v>
      </c>
      <c r="D13" s="11">
        <f>IFERROR(AVERAGEIFS(Clean!$E$2:$E$13,Clean!$G$2:$G$13,$A13,Clean!$B$2:$B$13,D$11),"")</f>
        <v>28</v>
      </c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ht="18.5" x14ac:dyDescent="0.35">
      <c r="A18" s="2"/>
      <c r="B18" s="1"/>
      <c r="C18" s="1"/>
      <c r="D18" s="1"/>
    </row>
    <row r="19" spans="1:4" x14ac:dyDescent="0.35">
      <c r="A19" s="1" t="s">
        <v>35</v>
      </c>
      <c r="B19" s="1"/>
      <c r="C19" s="1"/>
      <c r="D19" s="1"/>
    </row>
    <row r="20" spans="1:4" x14ac:dyDescent="0.35">
      <c r="A20" s="1" t="s">
        <v>35</v>
      </c>
      <c r="B20" s="1"/>
      <c r="C20" s="1"/>
      <c r="D20" s="1"/>
    </row>
    <row r="21" spans="1:4" x14ac:dyDescent="0.35">
      <c r="A21" s="1" t="s">
        <v>35</v>
      </c>
      <c r="B21" s="1"/>
      <c r="C21" s="1"/>
      <c r="D21" s="1"/>
    </row>
    <row r="22" spans="1:4" x14ac:dyDescent="0.35">
      <c r="A22" s="1" t="s">
        <v>35</v>
      </c>
      <c r="B22" s="1"/>
      <c r="C22" s="1"/>
      <c r="D22" s="1"/>
    </row>
    <row r="23" spans="1:4" x14ac:dyDescent="0.35">
      <c r="A23" s="1" t="s">
        <v>35</v>
      </c>
      <c r="B23" s="1"/>
      <c r="C23" s="1"/>
      <c r="D23" s="1"/>
    </row>
    <row r="24" spans="1:4" x14ac:dyDescent="0.35">
      <c r="A24" s="1" t="s">
        <v>35</v>
      </c>
      <c r="B24" s="1"/>
      <c r="C24" s="1"/>
      <c r="D24" s="1"/>
    </row>
    <row r="25" spans="1:4" x14ac:dyDescent="0.35">
      <c r="A25" s="1" t="s">
        <v>35</v>
      </c>
      <c r="B25" s="1"/>
      <c r="C25" s="1"/>
      <c r="D25" s="1"/>
    </row>
    <row r="26" spans="1:4" x14ac:dyDescent="0.35">
      <c r="A26" s="1" t="s">
        <v>35</v>
      </c>
      <c r="B26" s="1"/>
      <c r="C26" s="1"/>
      <c r="D26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2026-10-03T05:39:31Z</dcterms:created>
  <dcterms:modified xsi:type="dcterms:W3CDTF">2026-10-03T07:15:41Z</dcterms:modified>
</cp:coreProperties>
</file>